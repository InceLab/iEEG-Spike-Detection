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Lokaal\Downloads\Persyst lay-out\"/>
    </mc:Choice>
  </mc:AlternateContent>
  <bookViews>
    <workbookView xWindow="0" yWindow="0" windowWidth="23040" windowHeight="9336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G2" i="1" s="1"/>
  <c r="F3" i="1"/>
  <c r="G3" i="1" s="1"/>
  <c r="F4" i="1"/>
  <c r="J3" i="1"/>
  <c r="J2" i="1"/>
  <c r="J4" i="1"/>
  <c r="G4" i="1"/>
  <c r="D4" i="1"/>
  <c r="D2" i="1"/>
  <c r="B3" i="1"/>
  <c r="D3" i="1" s="1"/>
  <c r="B4" i="1"/>
  <c r="B2" i="1"/>
</calcChain>
</file>

<file path=xl/sharedStrings.xml><?xml version="1.0" encoding="utf-8"?>
<sst xmlns="http://schemas.openxmlformats.org/spreadsheetml/2006/main" count="9" uniqueCount="9">
  <si>
    <t>int16</t>
  </si>
  <si>
    <t>int8</t>
  </si>
  <si>
    <t>int32</t>
  </si>
  <si>
    <t>min</t>
  </si>
  <si>
    <t>max</t>
  </si>
  <si>
    <t>range</t>
  </si>
  <si>
    <t>-mV</t>
  </si>
  <si>
    <t>mV</t>
  </si>
  <si>
    <t>calibration (µV/bit)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</si>
</sst>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5" formatCode="0.00000"/>
    <numFmt numFmtId="169" formatCode="0.00000000000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" fontId="0" fillId="0" borderId="0" xfId="0" applyNumberFormat="1" applyAlignment="1">
      <alignment horizontal="right"/>
    </xf>
    <xf numFmtId="165" fontId="0" fillId="0" borderId="0" xfId="0" applyNumberFormat="1"/>
    <xf numFmtId="169" fontId="0" fillId="0" borderId="0" xfId="0" applyNumberFormat="1" applyAlignment="1">
      <alignment horizontal="right"/>
    </xf>
    <xf numFmtId="0" fontId="0" fillId="0" borderId="0" xfId="0" quotePrefix="1" applyAlignment="1">
      <alignment horizontal="center"/>
    </xf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I3" sqref="I3"/>
    </sheetView>
  </sheetViews>
  <sheetFormatPr defaultRowHeight="14.4" x14ac:dyDescent="0.3"/>
  <cols>
    <col min="2" max="3" width="11.6640625" style="1" bestFit="1" customWidth="1"/>
    <col min="4" max="4" width="11" style="1" bestFit="1" customWidth="1"/>
    <col min="6" max="6" width="13.5546875" style="2" bestFit="1" customWidth="1"/>
    <col min="7" max="7" width="24.77734375" style="3" bestFit="1" customWidth="1"/>
    <col min="9" max="10" width="8.88671875" style="5"/>
  </cols>
  <sheetData>
    <row r="1" spans="1:10" x14ac:dyDescent="0.3">
      <c r="B1" s="1" t="s">
        <v>3</v>
      </c>
      <c r="C1" s="1" t="s">
        <v>4</v>
      </c>
      <c r="D1" s="1" t="s">
        <v>5</v>
      </c>
      <c r="G1" s="3" t="s">
        <v>8</v>
      </c>
      <c r="I1" s="4" t="s">
        <v>6</v>
      </c>
      <c r="J1" s="5" t="s">
        <v>7</v>
      </c>
    </row>
    <row r="2" spans="1:10" x14ac:dyDescent="0.3">
      <c r="A2" t="s">
        <v>1</v>
      </c>
      <c r="B2" s="1">
        <f>C2*-1-1</f>
        <v>-128</v>
      </c>
      <c r="C2" s="1">
        <v>127</v>
      </c>
      <c r="D2" s="1">
        <f>C2-B2+1</f>
        <v>256</v>
      </c>
      <c r="F2" s="2">
        <f>B2/I2/1000</f>
        <v>2.5600000000000001E-2</v>
      </c>
      <c r="G2" s="3">
        <f>1/F2</f>
        <v>39.0625</v>
      </c>
      <c r="I2" s="5">
        <v>-5</v>
      </c>
      <c r="J2" s="5">
        <f>-I2</f>
        <v>5</v>
      </c>
    </row>
    <row r="3" spans="1:10" x14ac:dyDescent="0.3">
      <c r="A3" t="s">
        <v>0</v>
      </c>
      <c r="B3" s="1">
        <f t="shared" ref="B3:B4" si="0">C3*-1-1</f>
        <v>-32768</v>
      </c>
      <c r="C3" s="1">
        <v>32767</v>
      </c>
      <c r="D3" s="1">
        <f t="shared" ref="D3:D4" si="1">C3-B3+1</f>
        <v>65536</v>
      </c>
      <c r="F3" s="2">
        <f>B3/I3/1000</f>
        <v>6.5536000000000003</v>
      </c>
      <c r="G3" s="3">
        <f>1/F3</f>
        <v>0.152587890625</v>
      </c>
      <c r="I3" s="5">
        <v>-5</v>
      </c>
      <c r="J3" s="5">
        <f>-I3</f>
        <v>5</v>
      </c>
    </row>
    <row r="4" spans="1:10" x14ac:dyDescent="0.3">
      <c r="A4" t="s">
        <v>2</v>
      </c>
      <c r="B4" s="1">
        <f t="shared" si="0"/>
        <v>-2147483648</v>
      </c>
      <c r="C4" s="1">
        <v>2147483647</v>
      </c>
      <c r="D4" s="1">
        <f t="shared" si="1"/>
        <v>4294967296</v>
      </c>
      <c r="F4" s="2">
        <f>B4/I4/1000</f>
        <v>429496.72960000002</v>
      </c>
      <c r="G4" s="3">
        <f>1/F4</f>
        <v>2.3283064365386963E-6</v>
      </c>
      <c r="I4" s="5">
        <v>-5</v>
      </c>
      <c r="J4" s="5">
        <f>-I4</f>
        <v>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UZ 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Schrooten</dc:creator>
  <cp:lastModifiedBy>Maarten Schrooten</cp:lastModifiedBy>
  <cp:lastPrinted>2018-11-30T20:58:58Z</cp:lastPrinted>
  <dcterms:created xsi:type="dcterms:W3CDTF">2018-11-30T20:46:45Z</dcterms:created>
  <dcterms:modified xsi:type="dcterms:W3CDTF">2018-11-30T21:02:45Z</dcterms:modified>
</cp:coreProperties>
</file>